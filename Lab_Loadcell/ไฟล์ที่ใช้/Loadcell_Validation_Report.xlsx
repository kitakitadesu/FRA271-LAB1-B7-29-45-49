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on\OneDrive\Desktop\RMX\Lab_Loarcell\"/>
    </mc:Choice>
  </mc:AlternateContent>
  <xr:revisionPtr revIDLastSave="0" documentId="13_ncr:1_{F0E5F2F3-99F4-4863-95EB-853340FB7417}" xr6:coauthVersionLast="47" xr6:coauthVersionMax="47" xr10:uidLastSave="{00000000-0000-0000-0000-000000000000}"/>
  <bookViews>
    <workbookView xWindow="3036" yWindow="3036" windowWidth="17280" windowHeight="9960" activeTab="1" xr2:uid="{00000000-000D-0000-FFFF-FFFF00000000}"/>
  </bookViews>
  <sheets>
    <sheet name="Raw_Validation_Data" sheetId="1" r:id="rId1"/>
    <sheet name="Case_Performanc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E43" i="1"/>
  <c r="D44" i="1"/>
  <c r="C23" i="1"/>
  <c r="G64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E21" i="1"/>
  <c r="D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D36" i="1" s="1"/>
  <c r="C37" i="1"/>
  <c r="D37" i="1" s="1"/>
  <c r="D26" i="1"/>
  <c r="D24" i="1"/>
  <c r="D25" i="1"/>
  <c r="D27" i="1"/>
  <c r="D28" i="1"/>
  <c r="D29" i="1"/>
  <c r="D30" i="1"/>
  <c r="D31" i="1"/>
  <c r="D32" i="1"/>
  <c r="D33" i="1"/>
  <c r="D34" i="1"/>
  <c r="D35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</calcChain>
</file>

<file path=xl/sharedStrings.xml><?xml version="1.0" encoding="utf-8"?>
<sst xmlns="http://schemas.openxmlformats.org/spreadsheetml/2006/main" count="25" uniqueCount="22">
  <si>
    <t>Actual_Weight_g</t>
  </si>
  <si>
    <t>Run_No</t>
  </si>
  <si>
    <t>V_Lowpass_V</t>
  </si>
  <si>
    <t>V_AVR_V</t>
  </si>
  <si>
    <t>Case1_Weight_LPF_g</t>
  </si>
  <si>
    <t>Case1_Err_LPF_g</t>
  </si>
  <si>
    <t>Case2_Weight_AVR_g</t>
  </si>
  <si>
    <t>Case2_Err_AVR_g</t>
  </si>
  <si>
    <t>Validation_Case</t>
  </si>
  <si>
    <t>Case_1_Lowpass_Filter</t>
  </si>
  <si>
    <t>Case_2_Moving_Average_AVR</t>
  </si>
  <si>
    <t>Scale_Factor_m</t>
  </si>
  <si>
    <t>Offset_c</t>
  </si>
  <si>
    <t>Tare_Offset_g</t>
  </si>
  <si>
    <t>RMSE_g</t>
  </si>
  <si>
    <t>MAE_g</t>
  </si>
  <si>
    <t>Mean_Percent_Error</t>
  </si>
  <si>
    <t>err</t>
  </si>
  <si>
    <t>error</t>
  </si>
  <si>
    <t>realW</t>
  </si>
  <si>
    <t>MeasW</t>
  </si>
  <si>
    <t>not Cut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</si>
</sst>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opLeftCell="A67" zoomScaleNormal="100" workbookViewId="0">
      <selection activeCell="F76" sqref="F76"/>
    </sheetView>
  </sheetViews>
  <sheetFormatPr defaultRowHeight="14.4" x14ac:dyDescent="0.3"/>
  <cols>
    <col min="1" max="1" width="14.77734375" customWidth="1"/>
    <col min="2" max="2" width="7.5546875" customWidth="1"/>
    <col min="3" max="4" width="13.5546875" customWidth="1"/>
    <col min="5" max="5" width="18.33203125" customWidth="1"/>
    <col min="6" max="6" width="14.88671875" customWidth="1"/>
    <col min="7" max="7" width="18.88671875" customWidth="1"/>
    <col min="8" max="8" width="15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0</v>
      </c>
      <c r="B2">
        <v>1</v>
      </c>
      <c r="C2">
        <v>2.6477402725277412E-2</v>
      </c>
      <c r="D2">
        <v>2.6476546946976282E-2</v>
      </c>
      <c r="E2">
        <v>0</v>
      </c>
      <c r="F2">
        <v>0</v>
      </c>
      <c r="G2">
        <v>0</v>
      </c>
      <c r="H2">
        <v>0</v>
      </c>
    </row>
    <row r="3" spans="1:10" x14ac:dyDescent="0.3">
      <c r="A3">
        <v>0</v>
      </c>
      <c r="B3">
        <v>2</v>
      </c>
      <c r="C3">
        <v>2.6465340362613523E-2</v>
      </c>
      <c r="D3">
        <v>2.6462981502084509E-2</v>
      </c>
      <c r="E3">
        <v>-2.8514584056040349E-2</v>
      </c>
      <c r="F3">
        <v>-2.8514584056040349E-2</v>
      </c>
      <c r="G3">
        <v>-3.2067732165160123E-2</v>
      </c>
      <c r="H3">
        <v>-3.2067732165160123E-2</v>
      </c>
      <c r="J3" t="s">
        <v>17</v>
      </c>
    </row>
    <row r="4" spans="1:10" x14ac:dyDescent="0.3">
      <c r="A4">
        <v>0</v>
      </c>
      <c r="B4">
        <v>3</v>
      </c>
      <c r="C4">
        <v>2.6500280919100044E-2</v>
      </c>
      <c r="D4">
        <v>2.650018175416901E-2</v>
      </c>
      <c r="E4">
        <v>5.4082454572494498E-2</v>
      </c>
      <c r="F4">
        <v>5.4082454572494498E-2</v>
      </c>
      <c r="G4">
        <v>5.587097753738135E-2</v>
      </c>
      <c r="H4">
        <v>5.587097753738135E-2</v>
      </c>
    </row>
    <row r="5" spans="1:10" x14ac:dyDescent="0.3">
      <c r="A5">
        <v>499</v>
      </c>
      <c r="B5">
        <v>1</v>
      </c>
      <c r="C5">
        <v>0.111447234126062</v>
      </c>
      <c r="D5">
        <v>0.111679441</v>
      </c>
      <c r="E5">
        <v>200.862755267772</v>
      </c>
      <c r="F5">
        <v>-298.137244732228</v>
      </c>
      <c r="G5">
        <v>200.87227428314935</v>
      </c>
      <c r="H5">
        <v>-298.12772571685065</v>
      </c>
      <c r="J5">
        <f t="shared" ref="J5:J19" si="0">A5-E5</f>
        <v>298.137244732228</v>
      </c>
    </row>
    <row r="6" spans="1:10" x14ac:dyDescent="0.3">
      <c r="A6">
        <v>499</v>
      </c>
      <c r="B6">
        <v>2</v>
      </c>
      <c r="C6">
        <v>0.1117125937625038</v>
      </c>
      <c r="D6">
        <v>0.11171119932085599</v>
      </c>
      <c r="E6">
        <v>201.49004694099199</v>
      </c>
      <c r="F6">
        <v>-297.50995305900801</v>
      </c>
      <c r="G6">
        <v>201.48856342898506</v>
      </c>
      <c r="H6">
        <v>-297.51143657101494</v>
      </c>
      <c r="J6">
        <f t="shared" si="0"/>
        <v>297.50995305900801</v>
      </c>
    </row>
    <row r="7" spans="1:10" x14ac:dyDescent="0.3">
      <c r="A7">
        <v>499</v>
      </c>
      <c r="B7">
        <v>3</v>
      </c>
      <c r="C7">
        <v>0.11161088269241813</v>
      </c>
      <c r="D7">
        <v>0.11160781056110287</v>
      </c>
      <c r="E7">
        <v>201.24960906507954</v>
      </c>
      <c r="F7">
        <v>-297.75039093492046</v>
      </c>
      <c r="G7">
        <v>201.24415986661717</v>
      </c>
      <c r="H7">
        <v>-297.75584013338283</v>
      </c>
      <c r="J7">
        <f t="shared" si="0"/>
        <v>297.75039093492046</v>
      </c>
    </row>
    <row r="8" spans="1:10" x14ac:dyDescent="0.3">
      <c r="A8">
        <v>995</v>
      </c>
      <c r="B8">
        <v>1</v>
      </c>
      <c r="C8">
        <v>0.31587336569397467</v>
      </c>
      <c r="D8">
        <v>0.31587598283950497</v>
      </c>
      <c r="E8">
        <v>684.11187273140945</v>
      </c>
      <c r="F8">
        <v>-310.88812726859055</v>
      </c>
      <c r="G8">
        <v>684.11936895531517</v>
      </c>
      <c r="H8">
        <v>-310.88063104468483</v>
      </c>
      <c r="J8">
        <f t="shared" si="0"/>
        <v>310.88812726859055</v>
      </c>
    </row>
    <row r="9" spans="1:10" x14ac:dyDescent="0.3">
      <c r="A9">
        <v>995</v>
      </c>
      <c r="B9">
        <v>2</v>
      </c>
      <c r="C9">
        <v>0.31565272072380363</v>
      </c>
      <c r="D9">
        <v>0.315652907913267</v>
      </c>
      <c r="E9">
        <v>683.59028341066005</v>
      </c>
      <c r="F9">
        <v>-311.40971658933995</v>
      </c>
      <c r="G9">
        <v>683.59203593789925</v>
      </c>
      <c r="H9">
        <v>-311.40796406210075</v>
      </c>
      <c r="J9">
        <f t="shared" si="0"/>
        <v>311.40971658933995</v>
      </c>
    </row>
    <row r="10" spans="1:10" x14ac:dyDescent="0.3">
      <c r="A10">
        <v>995</v>
      </c>
      <c r="B10">
        <v>3</v>
      </c>
      <c r="C10">
        <v>0.31552139675236313</v>
      </c>
      <c r="D10">
        <v>0.31552554831731622</v>
      </c>
      <c r="E10">
        <v>683.27984270127661</v>
      </c>
      <c r="F10">
        <v>-311.72015729872339</v>
      </c>
      <c r="G10">
        <v>683.29096704969106</v>
      </c>
      <c r="H10">
        <v>-311.70903295030894</v>
      </c>
      <c r="J10">
        <f t="shared" si="0"/>
        <v>311.72015729872339</v>
      </c>
    </row>
    <row r="11" spans="1:10" x14ac:dyDescent="0.3">
      <c r="A11">
        <v>1493</v>
      </c>
      <c r="B11">
        <v>1</v>
      </c>
      <c r="C11">
        <v>0.52687875725744215</v>
      </c>
      <c r="D11">
        <v>0.52687736622167769</v>
      </c>
      <c r="E11">
        <v>1182.9139019584791</v>
      </c>
      <c r="F11">
        <v>-310.08609804152093</v>
      </c>
      <c r="G11">
        <v>1182.9114028890522</v>
      </c>
      <c r="H11">
        <v>-310.08859711094783</v>
      </c>
      <c r="J11">
        <f t="shared" si="0"/>
        <v>310.08609804152093</v>
      </c>
    </row>
    <row r="12" spans="1:10" x14ac:dyDescent="0.3">
      <c r="A12">
        <v>1493</v>
      </c>
      <c r="B12">
        <v>2</v>
      </c>
      <c r="C12">
        <v>0.52670641036670773</v>
      </c>
      <c r="D12">
        <v>0.52670792934993704</v>
      </c>
      <c r="E12">
        <v>1182.5064859290007</v>
      </c>
      <c r="F12">
        <v>-310.49351407099925</v>
      </c>
      <c r="G12">
        <v>1182.5108663592712</v>
      </c>
      <c r="H12">
        <v>-310.48913364072882</v>
      </c>
      <c r="J12">
        <f t="shared" si="0"/>
        <v>310.49351407099925</v>
      </c>
    </row>
    <row r="13" spans="1:10" x14ac:dyDescent="0.3">
      <c r="A13">
        <v>1493</v>
      </c>
      <c r="B13">
        <v>3</v>
      </c>
      <c r="C13">
        <v>0.52676344772818462</v>
      </c>
      <c r="D13">
        <v>0.52676215890754452</v>
      </c>
      <c r="E13">
        <v>1182.6413182734996</v>
      </c>
      <c r="F13">
        <v>-310.35868172650044</v>
      </c>
      <c r="G13">
        <v>1182.6390611175461</v>
      </c>
      <c r="H13">
        <v>-310.36093888245387</v>
      </c>
      <c r="J13">
        <f t="shared" si="0"/>
        <v>310.35868172650044</v>
      </c>
    </row>
    <row r="14" spans="1:10" x14ac:dyDescent="0.3">
      <c r="A14">
        <v>1997</v>
      </c>
      <c r="B14">
        <v>1</v>
      </c>
      <c r="C14">
        <v>0.7386748438209676</v>
      </c>
      <c r="D14">
        <v>0.73868708348584122</v>
      </c>
      <c r="E14">
        <v>1683.5850790191951</v>
      </c>
      <c r="F14">
        <v>-313.41492098080494</v>
      </c>
      <c r="G14">
        <v>1683.6142797501338</v>
      </c>
      <c r="H14">
        <v>-313.38572024986615</v>
      </c>
      <c r="J14">
        <f t="shared" si="0"/>
        <v>313.41492098080494</v>
      </c>
    </row>
    <row r="15" spans="1:10" x14ac:dyDescent="0.3">
      <c r="A15">
        <v>1997</v>
      </c>
      <c r="B15">
        <v>2</v>
      </c>
      <c r="C15">
        <v>0.73899507362645167</v>
      </c>
      <c r="D15">
        <v>0.73900051108770204</v>
      </c>
      <c r="E15">
        <v>1684.3420799451474</v>
      </c>
      <c r="F15">
        <v>-312.65792005485264</v>
      </c>
      <c r="G15">
        <v>1684.3551999683677</v>
      </c>
      <c r="H15">
        <v>-312.64480003163226</v>
      </c>
      <c r="J15">
        <f t="shared" si="0"/>
        <v>312.65792005485264</v>
      </c>
    </row>
    <row r="16" spans="1:10" x14ac:dyDescent="0.3">
      <c r="A16">
        <v>1997</v>
      </c>
      <c r="B16">
        <v>3</v>
      </c>
      <c r="C16">
        <v>0.73894163555460779</v>
      </c>
      <c r="D16">
        <v>0.73892748692151111</v>
      </c>
      <c r="E16">
        <v>1684.2157560703108</v>
      </c>
      <c r="F16">
        <v>-312.78424392968918</v>
      </c>
      <c r="G16">
        <v>1684.1825761125576</v>
      </c>
      <c r="H16">
        <v>-312.81742388744237</v>
      </c>
      <c r="J16">
        <f t="shared" si="0"/>
        <v>312.78424392968918</v>
      </c>
    </row>
    <row r="17" spans="1:10" x14ac:dyDescent="0.3">
      <c r="A17">
        <v>2494</v>
      </c>
      <c r="B17">
        <v>1</v>
      </c>
      <c r="C17">
        <v>0.95146974794400896</v>
      </c>
      <c r="D17">
        <v>0.95146223049329992</v>
      </c>
      <c r="E17">
        <v>2186.6173911287492</v>
      </c>
      <c r="F17">
        <v>-307.3826088712508</v>
      </c>
      <c r="G17">
        <v>2186.5993628108126</v>
      </c>
      <c r="H17">
        <v>-307.40063718918736</v>
      </c>
      <c r="J17">
        <f t="shared" si="0"/>
        <v>307.3826088712508</v>
      </c>
    </row>
    <row r="18" spans="1:10" x14ac:dyDescent="0.3">
      <c r="A18">
        <v>2494</v>
      </c>
      <c r="B18">
        <v>2</v>
      </c>
      <c r="C18">
        <v>0.95159751031642337</v>
      </c>
      <c r="D18">
        <v>0.95159321966281563</v>
      </c>
      <c r="E18">
        <v>2186.9194124664359</v>
      </c>
      <c r="F18">
        <v>-307.08058753356408</v>
      </c>
      <c r="G18">
        <v>2186.9090117488377</v>
      </c>
      <c r="H18">
        <v>-307.09098825116234</v>
      </c>
      <c r="J18">
        <f t="shared" si="0"/>
        <v>307.08058753356408</v>
      </c>
    </row>
    <row r="19" spans="1:10" x14ac:dyDescent="0.3">
      <c r="A19">
        <v>2494</v>
      </c>
      <c r="B19">
        <v>3</v>
      </c>
      <c r="C19">
        <v>0.95205738845455257</v>
      </c>
      <c r="D19">
        <v>0.95205673254825163</v>
      </c>
      <c r="E19">
        <v>2188.0065323110825</v>
      </c>
      <c r="F19">
        <v>-305.99346768891746</v>
      </c>
      <c r="G19">
        <v>2188.0047227398045</v>
      </c>
      <c r="H19">
        <v>-305.99527726019551</v>
      </c>
      <c r="J19">
        <f t="shared" si="0"/>
        <v>305.99346768891746</v>
      </c>
    </row>
    <row r="21" spans="1:10" x14ac:dyDescent="0.3">
      <c r="E21">
        <f>$G$23 * (D4 )</f>
        <v>62.64451635373289</v>
      </c>
    </row>
    <row r="22" spans="1:10" x14ac:dyDescent="0.3">
      <c r="B22" t="s">
        <v>19</v>
      </c>
      <c r="C22" t="s">
        <v>20</v>
      </c>
      <c r="D22" t="s">
        <v>18</v>
      </c>
    </row>
    <row r="23" spans="1:10" x14ac:dyDescent="0.3">
      <c r="B23">
        <v>499</v>
      </c>
      <c r="C23">
        <f>$G$23 * (D5  ) + 193.42</f>
        <v>457.42213526835974</v>
      </c>
      <c r="D23">
        <f>A5-C23</f>
        <v>41.577864731640261</v>
      </c>
      <c r="F23">
        <f t="shared" ref="F23:F37" si="1">$G$24 * (D5)-50.3</f>
        <v>226.38916546073</v>
      </c>
      <c r="G23">
        <v>2363.9277999999999</v>
      </c>
    </row>
    <row r="24" spans="1:10" x14ac:dyDescent="0.3">
      <c r="B24">
        <v>499</v>
      </c>
      <c r="C24">
        <f t="shared" ref="C24:C37" si="2">$G$23 * (D6  ) + 193.42</f>
        <v>457.49720964591256</v>
      </c>
      <c r="D24">
        <f t="shared" ref="D24:D37" si="3">A6-C24</f>
        <v>41.502790354087438</v>
      </c>
      <c r="F24">
        <f t="shared" si="1"/>
        <v>226.46784765340038</v>
      </c>
      <c r="G24">
        <v>2477.5300000000002</v>
      </c>
    </row>
    <row r="25" spans="1:10" x14ac:dyDescent="0.3">
      <c r="B25">
        <v>499</v>
      </c>
      <c r="C25">
        <f t="shared" si="2"/>
        <v>457.25280608252467</v>
      </c>
      <c r="D25">
        <f t="shared" si="3"/>
        <v>41.747193917475329</v>
      </c>
      <c r="F25">
        <f t="shared" si="1"/>
        <v>226.21169889944923</v>
      </c>
    </row>
    <row r="26" spans="1:10" x14ac:dyDescent="0.3">
      <c r="B26">
        <v>995</v>
      </c>
      <c r="C26">
        <f t="shared" si="2"/>
        <v>940.12801718662865</v>
      </c>
      <c r="D26">
        <f t="shared" si="3"/>
        <v>54.871982813371346</v>
      </c>
      <c r="F26">
        <f t="shared" si="1"/>
        <v>732.29222376435882</v>
      </c>
    </row>
    <row r="27" spans="1:10" x14ac:dyDescent="0.3">
      <c r="B27">
        <v>995</v>
      </c>
      <c r="C27">
        <f t="shared" si="2"/>
        <v>939.60068416701176</v>
      </c>
      <c r="D27">
        <f t="shared" si="3"/>
        <v>55.399315832988236</v>
      </c>
      <c r="F27">
        <f t="shared" si="1"/>
        <v>731.73954894235646</v>
      </c>
    </row>
    <row r="28" spans="1:10" x14ac:dyDescent="0.3">
      <c r="B28">
        <v>995</v>
      </c>
      <c r="C28">
        <f t="shared" si="2"/>
        <v>939.29961527754699</v>
      </c>
      <c r="D28">
        <f t="shared" si="3"/>
        <v>55.700384722453009</v>
      </c>
      <c r="F28">
        <f t="shared" si="1"/>
        <v>731.42401172260054</v>
      </c>
    </row>
    <row r="29" spans="1:10" x14ac:dyDescent="0.3">
      <c r="B29">
        <v>1493</v>
      </c>
      <c r="C29">
        <f t="shared" si="2"/>
        <v>1438.9200532022048</v>
      </c>
      <c r="D29">
        <f t="shared" si="3"/>
        <v>54.079946797795174</v>
      </c>
      <c r="F29">
        <f t="shared" si="1"/>
        <v>1255.0544811351933</v>
      </c>
    </row>
    <row r="30" spans="1:10" x14ac:dyDescent="0.3">
      <c r="B30">
        <v>1493</v>
      </c>
      <c r="C30">
        <f t="shared" si="2"/>
        <v>1438.5195166707522</v>
      </c>
      <c r="D30">
        <f t="shared" si="3"/>
        <v>54.480483329247818</v>
      </c>
      <c r="F30">
        <f t="shared" si="1"/>
        <v>1254.6346962023497</v>
      </c>
    </row>
    <row r="31" spans="1:10" x14ac:dyDescent="0.3">
      <c r="B31">
        <v>1493</v>
      </c>
      <c r="C31">
        <f t="shared" si="2"/>
        <v>1438.6477114295622</v>
      </c>
      <c r="D31">
        <f t="shared" si="3"/>
        <v>54.35228857043785</v>
      </c>
      <c r="F31">
        <f t="shared" si="1"/>
        <v>1254.769051558209</v>
      </c>
    </row>
    <row r="32" spans="1:10" x14ac:dyDescent="0.3">
      <c r="B32">
        <v>1997</v>
      </c>
      <c r="C32">
        <f t="shared" si="2"/>
        <v>1939.6229321531009</v>
      </c>
      <c r="D32">
        <f t="shared" si="3"/>
        <v>57.377067846899081</v>
      </c>
      <c r="F32">
        <f t="shared" si="1"/>
        <v>1779.8194099486764</v>
      </c>
    </row>
    <row r="33" spans="2:6" x14ac:dyDescent="0.3">
      <c r="B33">
        <v>1997</v>
      </c>
      <c r="C33">
        <f t="shared" si="2"/>
        <v>1940.3638523744271</v>
      </c>
      <c r="D33">
        <f t="shared" si="3"/>
        <v>56.636147625572903</v>
      </c>
      <c r="F33">
        <f t="shared" si="1"/>
        <v>1780.5959362351146</v>
      </c>
    </row>
    <row r="34" spans="2:6" x14ac:dyDescent="0.3">
      <c r="B34">
        <v>1997</v>
      </c>
      <c r="C34">
        <f t="shared" si="2"/>
        <v>1940.1912285178967</v>
      </c>
      <c r="D34">
        <f t="shared" si="3"/>
        <v>56.808771482103339</v>
      </c>
      <c r="F34">
        <f t="shared" si="1"/>
        <v>1780.4150166726515</v>
      </c>
    </row>
    <row r="35" spans="2:6" x14ac:dyDescent="0.3">
      <c r="B35">
        <v>2494</v>
      </c>
      <c r="C35">
        <f t="shared" si="2"/>
        <v>2442.6080173131195</v>
      </c>
      <c r="D35">
        <f t="shared" si="3"/>
        <v>51.39198268688051</v>
      </c>
      <c r="F35">
        <f t="shared" si="1"/>
        <v>2306.9762199140655</v>
      </c>
    </row>
    <row r="36" spans="2:6" x14ac:dyDescent="0.3">
      <c r="B36">
        <v>2494</v>
      </c>
      <c r="C36">
        <f t="shared" si="2"/>
        <v>2442.9176662524364</v>
      </c>
      <c r="D36">
        <f t="shared" si="3"/>
        <v>51.082333747563553</v>
      </c>
      <c r="F36">
        <f t="shared" si="1"/>
        <v>2307.3007495112156</v>
      </c>
    </row>
    <row r="37" spans="2:6" x14ac:dyDescent="0.3">
      <c r="B37">
        <v>2494</v>
      </c>
      <c r="C37">
        <f t="shared" si="2"/>
        <v>2444.0133772479767</v>
      </c>
      <c r="D37">
        <f t="shared" si="3"/>
        <v>49.986622752023322</v>
      </c>
      <c r="F37">
        <f t="shared" si="1"/>
        <v>2308.44911659027</v>
      </c>
    </row>
    <row r="41" spans="2:6" x14ac:dyDescent="0.3">
      <c r="B41" t="s">
        <v>21</v>
      </c>
    </row>
    <row r="42" spans="2:6" x14ac:dyDescent="0.3">
      <c r="B42" t="s">
        <v>19</v>
      </c>
      <c r="C42" t="s">
        <v>3</v>
      </c>
      <c r="E42" t="s">
        <v>18</v>
      </c>
    </row>
    <row r="43" spans="2:6" x14ac:dyDescent="0.3">
      <c r="B43">
        <v>499</v>
      </c>
      <c r="C43">
        <v>0.111679441</v>
      </c>
      <c r="D43">
        <f>(2333.932009 * (C43)) + 257.799303</f>
        <v>518.45152509712693</v>
      </c>
      <c r="E43">
        <f>ABS(B43-D43)</f>
        <v>19.451525097126932</v>
      </c>
    </row>
    <row r="44" spans="2:6" x14ac:dyDescent="0.3">
      <c r="B44">
        <v>499</v>
      </c>
      <c r="C44">
        <v>0.11171119932085599</v>
      </c>
      <c r="D44">
        <f>(2333.932009 * C44) + 257.799303</f>
        <v>518.52564685872494</v>
      </c>
      <c r="E44">
        <f t="shared" ref="E44:E57" si="4">ABS(B44-D44)</f>
        <v>19.52564685872494</v>
      </c>
    </row>
    <row r="45" spans="2:6" x14ac:dyDescent="0.3">
      <c r="B45">
        <v>499</v>
      </c>
      <c r="C45">
        <v>0.11160781056110287</v>
      </c>
      <c r="D45">
        <f t="shared" ref="D45:D57" si="5">(2333.932009 * C45) + 257.799303</f>
        <v>518.28434452296619</v>
      </c>
      <c r="E45">
        <f t="shared" si="4"/>
        <v>19.284344522966194</v>
      </c>
    </row>
    <row r="46" spans="2:6" x14ac:dyDescent="0.3">
      <c r="B46">
        <v>995</v>
      </c>
      <c r="C46">
        <v>0.31587598283950497</v>
      </c>
      <c r="D46">
        <f t="shared" si="5"/>
        <v>995.03237022345536</v>
      </c>
      <c r="E46">
        <f t="shared" si="4"/>
        <v>3.2370223455359337E-2</v>
      </c>
    </row>
    <row r="47" spans="2:6" x14ac:dyDescent="0.3">
      <c r="B47">
        <v>995</v>
      </c>
      <c r="C47">
        <v>0.315652907913267</v>
      </c>
      <c r="D47">
        <f t="shared" si="5"/>
        <v>994.51172851270326</v>
      </c>
      <c r="E47">
        <f t="shared" si="4"/>
        <v>0.48827148729674263</v>
      </c>
    </row>
    <row r="48" spans="2:6" x14ac:dyDescent="0.3">
      <c r="B48">
        <v>995</v>
      </c>
      <c r="C48">
        <v>0.31552554831731622</v>
      </c>
      <c r="D48">
        <f t="shared" si="5"/>
        <v>994.21447987506042</v>
      </c>
      <c r="E48">
        <f t="shared" si="4"/>
        <v>0.78552012493958046</v>
      </c>
    </row>
    <row r="49" spans="2:7" x14ac:dyDescent="0.3">
      <c r="B49">
        <v>1493</v>
      </c>
      <c r="C49">
        <v>0.52687736622167769</v>
      </c>
      <c r="D49">
        <f t="shared" si="5"/>
        <v>1487.4952528423889</v>
      </c>
      <c r="E49">
        <f t="shared" si="4"/>
        <v>5.5047471576110638</v>
      </c>
    </row>
    <row r="50" spans="2:7" x14ac:dyDescent="0.3">
      <c r="B50">
        <v>1493</v>
      </c>
      <c r="C50">
        <v>0.52670792934993704</v>
      </c>
      <c r="D50">
        <f t="shared" si="5"/>
        <v>1487.0997987039286</v>
      </c>
      <c r="E50">
        <f t="shared" si="4"/>
        <v>5.9002012960713728</v>
      </c>
    </row>
    <row r="51" spans="2:7" x14ac:dyDescent="0.3">
      <c r="B51">
        <v>1493</v>
      </c>
      <c r="C51">
        <v>0.52676215890754452</v>
      </c>
      <c r="D51">
        <f t="shared" si="5"/>
        <v>1487.2263668042626</v>
      </c>
      <c r="E51">
        <f t="shared" si="4"/>
        <v>5.773633195737375</v>
      </c>
    </row>
    <row r="52" spans="2:7" x14ac:dyDescent="0.3">
      <c r="B52">
        <v>1997</v>
      </c>
      <c r="C52">
        <v>0.73868708348584122</v>
      </c>
      <c r="D52">
        <f t="shared" si="5"/>
        <v>1981.8447317824603</v>
      </c>
      <c r="E52">
        <f t="shared" si="4"/>
        <v>15.155268217539742</v>
      </c>
    </row>
    <row r="53" spans="2:7" x14ac:dyDescent="0.3">
      <c r="B53">
        <v>1997</v>
      </c>
      <c r="C53">
        <v>0.73900051108770204</v>
      </c>
      <c r="D53">
        <f t="shared" si="5"/>
        <v>1982.5762504949473</v>
      </c>
      <c r="E53">
        <f t="shared" si="4"/>
        <v>14.423749505052683</v>
      </c>
    </row>
    <row r="54" spans="2:7" x14ac:dyDescent="0.3">
      <c r="B54">
        <v>1997</v>
      </c>
      <c r="C54">
        <v>0.73892748692151111</v>
      </c>
      <c r="D54">
        <f t="shared" si="5"/>
        <v>1982.4058170560438</v>
      </c>
      <c r="E54">
        <f t="shared" si="4"/>
        <v>14.594182943956184</v>
      </c>
    </row>
    <row r="55" spans="2:7" x14ac:dyDescent="0.3">
      <c r="B55">
        <v>2494</v>
      </c>
      <c r="C55">
        <v>0.95146223049329992</v>
      </c>
      <c r="D55">
        <f t="shared" si="5"/>
        <v>2478.4474581028489</v>
      </c>
      <c r="E55">
        <f t="shared" si="4"/>
        <v>15.552541897151059</v>
      </c>
    </row>
    <row r="56" spans="2:7" x14ac:dyDescent="0.3">
      <c r="B56">
        <v>2494</v>
      </c>
      <c r="C56">
        <v>0.95159321966281563</v>
      </c>
      <c r="D56">
        <f t="shared" si="5"/>
        <v>2478.7531779184137</v>
      </c>
      <c r="E56">
        <f t="shared" si="4"/>
        <v>15.246822081586288</v>
      </c>
    </row>
    <row r="57" spans="2:7" x14ac:dyDescent="0.3">
      <c r="B57">
        <v>2494</v>
      </c>
      <c r="C57">
        <v>0.95205673254825163</v>
      </c>
      <c r="D57">
        <f t="shared" si="5"/>
        <v>2479.8349854783164</v>
      </c>
      <c r="E57">
        <f t="shared" si="4"/>
        <v>14.165014521683588</v>
      </c>
    </row>
    <row r="60" spans="2:7" x14ac:dyDescent="0.3">
      <c r="G60">
        <v>2.6476546946976282E-2</v>
      </c>
    </row>
    <row r="61" spans="2:7" x14ac:dyDescent="0.3">
      <c r="G61">
        <v>2.6462981502084509E-2</v>
      </c>
    </row>
    <row r="62" spans="2:7" x14ac:dyDescent="0.3">
      <c r="G62">
        <v>2.650018175416901E-2</v>
      </c>
    </row>
    <row r="64" spans="2:7" x14ac:dyDescent="0.3">
      <c r="G64">
        <f>AVERAGE(G60:G62)</f>
        <v>2.6479903401076598E-2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B8" sqref="B8"/>
    </sheetView>
  </sheetViews>
  <sheetFormatPr defaultRowHeight="14.4" x14ac:dyDescent="0.3"/>
  <cols>
    <col min="1" max="1" width="20" customWidth="1"/>
    <col min="2" max="2" width="14" customWidth="1"/>
    <col min="3" max="3" width="11.5546875" customWidth="1"/>
    <col min="4" max="4" width="12.6640625" customWidth="1"/>
    <col min="5" max="6" width="11.5546875" customWidth="1"/>
    <col min="7" max="7" width="18" customWidth="1"/>
  </cols>
  <sheetData>
    <row r="1" spans="1:7" x14ac:dyDescent="0.3">
      <c r="A1" t="s">
        <v>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9</v>
      </c>
      <c r="B2">
        <v>2363.9302556732864</v>
      </c>
      <c r="C2">
        <v>193.41374432020561</v>
      </c>
      <c r="D2">
        <v>256.00447771413519</v>
      </c>
      <c r="E2">
        <v>281.065901139294</v>
      </c>
      <c r="F2">
        <v>256.54167943441877</v>
      </c>
      <c r="G2">
        <v>27.945500147594</v>
      </c>
    </row>
    <row r="3" spans="1:7" x14ac:dyDescent="0.3">
      <c r="A3" t="s">
        <v>10</v>
      </c>
      <c r="B3">
        <v>2363.927790133529</v>
      </c>
      <c r="C3">
        <v>193.42083986538299</v>
      </c>
      <c r="D3">
        <v>256.00948498011525</v>
      </c>
      <c r="E3">
        <v>281.06578497203367</v>
      </c>
      <c r="F3">
        <v>256.5418936495368</v>
      </c>
      <c r="G3">
        <v>27.945381084457399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Raw_Validation_Data</vt:lpstr>
      <vt:lpstr>Case_Performance_Summary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ภากร บุญจงเจริญ</cp:lastModifiedBy>
  <dcterms:modified xsi:type="dcterms:W3CDTF">2026-10-04T11:37:59Z</dcterms:modified>
</cp:coreProperties>
</file>